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2ba72a3f99de65d/Desktop/"/>
    </mc:Choice>
  </mc:AlternateContent>
  <xr:revisionPtr revIDLastSave="325" documentId="11_E081DB26ED4A3136CB492AE921CA2F81BB87CEDF" xr6:coauthVersionLast="47" xr6:coauthVersionMax="47" xr10:uidLastSave="{E7E37842-FBD9-47CB-9CD0-3140D9C79CF6}"/>
  <bookViews>
    <workbookView xWindow="-110" yWindow="-110" windowWidth="25820" windowHeight="15500" xr2:uid="{00000000-000D-0000-FFFF-FFFF00000000}"/>
  </bookViews>
  <sheets>
    <sheet name="Dashboard" sheetId="1" r:id="rId1"/>
    <sheet name="Onboarding_Database" sheetId="2" r:id="rId2"/>
    <sheet name="Setting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10" i="1" a="1"/>
  <c r="A10" i="1" s="1"/>
  <c r="G10" i="1" s="1" a="1"/>
  <c r="G10" i="1" s="1"/>
  <c r="L2" i="2"/>
  <c r="L3" i="2"/>
  <c r="L4" i="2"/>
  <c r="L5" i="2"/>
  <c r="L6" i="2"/>
  <c r="I3" i="2"/>
  <c r="I4" i="2"/>
  <c r="I5" i="2"/>
  <c r="I6" i="2"/>
  <c r="I2" i="2"/>
  <c r="H3" i="2"/>
  <c r="H5" i="2"/>
  <c r="H6" i="2"/>
  <c r="H2" i="2"/>
  <c r="G3" i="2"/>
  <c r="M3" i="2" s="1" a="1"/>
  <c r="M3" i="2" s="1"/>
  <c r="G4" i="2"/>
  <c r="H4" i="2" s="1"/>
  <c r="M4" i="2" s="1" a="1"/>
  <c r="M4" i="2" s="1"/>
  <c r="G5" i="2"/>
  <c r="M5" i="2" s="1" a="1"/>
  <c r="M5" i="2" s="1"/>
  <c r="G6" i="2"/>
  <c r="M6" i="2" s="1" a="1"/>
  <c r="M6" i="2" s="1"/>
  <c r="G2" i="2"/>
  <c r="M2" i="2" s="1" a="1"/>
  <c r="M2" i="2" s="1"/>
  <c r="N2" i="2" s="1" a="1"/>
  <c r="N2" i="2" s="1"/>
  <c r="E3" i="2"/>
  <c r="E4" i="2"/>
  <c r="E5" i="2"/>
  <c r="E6" i="2"/>
  <c r="E2" i="2"/>
  <c r="M6" i="1" l="1"/>
  <c r="J6" i="1"/>
  <c r="G6" i="1"/>
  <c r="D6" i="1"/>
  <c r="G13" i="1" a="1"/>
  <c r="G13" i="1" s="1"/>
  <c r="G12" i="1" a="1"/>
  <c r="G12" i="1" s="1"/>
  <c r="G11" i="1" a="1"/>
  <c r="G11" i="1" s="1"/>
  <c r="G14" i="1" a="1"/>
  <c r="G14" i="1" s="1"/>
  <c r="P3" i="2"/>
  <c r="N3" i="2" a="1"/>
  <c r="N3" i="2" s="1"/>
  <c r="N5" i="2" a="1"/>
  <c r="N5" i="2" s="1"/>
  <c r="P5" i="2"/>
  <c r="P6" i="2"/>
  <c r="N6" i="2" a="1"/>
  <c r="N6" i="2" s="1"/>
  <c r="N4" i="2" a="1"/>
  <c r="N4" i="2" s="1"/>
  <c r="P4" i="2"/>
  <c r="P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<sst xmlns="http://schemas.openxmlformats.org/spreadsheetml/2006/main" count="78" uniqueCount="59">
  <si>
    <t>EXECUTIVE ONBOARDING CONTROL TOWER &amp; ANALYTICS DASHBOARD</t>
  </si>
  <si>
    <t>Active Onboardings</t>
  </si>
  <si>
    <t>Critical Breaches</t>
  </si>
  <si>
    <t>Avg Time-To-Productivity</t>
  </si>
  <si>
    <t>Department Breakdown Analytics</t>
  </si>
  <si>
    <t>Department</t>
  </si>
  <si>
    <t>Total Hires</t>
  </si>
  <si>
    <t>At Risk</t>
  </si>
  <si>
    <t>Critical SLA</t>
  </si>
  <si>
    <t>Avg TTP (Days)</t>
  </si>
  <si>
    <t>Employee ID</t>
  </si>
  <si>
    <t>Employee Name</t>
  </si>
  <si>
    <t>Start Date</t>
  </si>
  <si>
    <t>IT Target Completion Date</t>
  </si>
  <si>
    <t>IT Actual Completion Date</t>
  </si>
  <si>
    <t>IT SLA Delay (Business Days)</t>
  </si>
  <si>
    <t>IT Provisioning Status</t>
  </si>
  <si>
    <t>30-Day Review Target Date</t>
  </si>
  <si>
    <t>30-Day Review Actual Date</t>
  </si>
  <si>
    <t>30-Day Review Status</t>
  </si>
  <si>
    <t>Time-To-Productivity (Days)</t>
  </si>
  <si>
    <t>Overall Process Health Status</t>
  </si>
  <si>
    <t>Visual SLA Flag</t>
  </si>
  <si>
    <t>Manager Email Address</t>
  </si>
  <si>
    <t>Escalation Alert Trigger</t>
  </si>
  <si>
    <t>EMP-2026-001</t>
  </si>
  <si>
    <t>Sarah Jenkins</t>
  </si>
  <si>
    <t>Engineering</t>
  </si>
  <si>
    <t>Completed</t>
  </si>
  <si>
    <t>EMP-2026-002</t>
  </si>
  <si>
    <t>Marcus Vance</t>
  </si>
  <si>
    <t>Product Management</t>
  </si>
  <si>
    <t>In Progress</t>
  </si>
  <si>
    <t>EMP-2026-003</t>
  </si>
  <si>
    <t>Elena Rostova</t>
  </si>
  <si>
    <t>Operations</t>
  </si>
  <si>
    <t>Pending IT</t>
  </si>
  <si>
    <t>EMP-2026-004</t>
  </si>
  <si>
    <t>David Chen</t>
  </si>
  <si>
    <t>Sales</t>
  </si>
  <si>
    <t>Not Started</t>
  </si>
  <si>
    <t>EMP-2026-005</t>
  </si>
  <si>
    <t>Aisha Patel</t>
  </si>
  <si>
    <t>Finance</t>
  </si>
  <si>
    <t>Status Options</t>
  </si>
  <si>
    <t>Department List</t>
  </si>
  <si>
    <t>Role Profiles</t>
  </si>
  <si>
    <t>IT Tier Bundles</t>
  </si>
  <si>
    <t>Software Engineer</t>
  </si>
  <si>
    <t>Tier 1 - Developer Tech Kit</t>
  </si>
  <si>
    <t>Product Manager</t>
  </si>
  <si>
    <t>Tier 2 - Standard Office</t>
  </si>
  <si>
    <t>Financial Analyst</t>
  </si>
  <si>
    <t>Operations Lead</t>
  </si>
  <si>
    <t>Account Executive</t>
  </si>
  <si>
    <t>Tier 3 - Field Sales Mobile</t>
  </si>
  <si>
    <t>Reason/Status</t>
  </si>
  <si>
    <t>s.jenkins@Miscrosoft.com</t>
  </si>
  <si>
    <t>On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</si>
</sst>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F4E78"/>
      <name val="Calibri"/>
    </font>
    <font>
      <sz val="10"/>
      <color theme="1"/>
      <name val="Arial"/>
      <family val="2"/>
    </font>
    <font>
      <b/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595959"/>
      <name val="Calibri"/>
      <family val="2"/>
    </font>
    <font>
      <b/>
      <sz val="14"/>
      <color rgb="FF1F4E78"/>
      <name val="Calibri"/>
      <family val="2"/>
    </font>
    <font>
      <b/>
      <sz val="14"/>
      <color rgb="FFFFFFFF"/>
      <name val="Calibri"/>
      <family val="2"/>
    </font>
    <font>
      <b/>
      <sz val="16"/>
      <color theme="6" tint="-0.499984740745262"/>
      <name val="Calibri"/>
      <family val="2"/>
      <scheme val="minor"/>
    </font>
    <font>
      <b/>
      <sz val="16"/>
      <color rgb="FF8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A365D"/>
        <bgColor indexed="64"/>
      </patternFill>
    </fill>
    <fill>
      <patternFill patternType="solid">
        <fgColor rgb="FFEBF8F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rgb="FF000066"/>
      </bottom>
      <diagonal/>
    </border>
    <border>
      <left/>
      <right/>
      <top style="thick">
        <color rgb="FF000066"/>
      </top>
      <bottom/>
      <diagonal/>
    </border>
    <border>
      <left/>
      <right style="thick">
        <color rgb="FF000066"/>
      </right>
      <top style="thick">
        <color rgb="FF000066"/>
      </top>
      <bottom/>
      <diagonal/>
    </border>
    <border>
      <left/>
      <right style="thick">
        <color rgb="FF000066"/>
      </right>
      <top/>
      <bottom/>
      <diagonal/>
    </border>
    <border>
      <left/>
      <right style="thick">
        <color rgb="FF000066"/>
      </right>
      <top/>
      <bottom style="thick">
        <color rgb="FF000066"/>
      </bottom>
      <diagonal/>
    </border>
    <border>
      <left/>
      <right/>
      <top/>
      <bottom style="thick">
        <color rgb="FFE53E3E"/>
      </bottom>
      <diagonal/>
    </border>
    <border>
      <left style="thick">
        <color rgb="FFE53E3E"/>
      </left>
      <right/>
      <top/>
      <bottom/>
      <diagonal/>
    </border>
    <border>
      <left/>
      <right/>
      <top style="thick">
        <color rgb="FFE53E3E"/>
      </top>
      <bottom/>
      <diagonal/>
    </border>
    <border>
      <left style="thick">
        <color rgb="FFE53E3E"/>
      </left>
      <right/>
      <top style="thick">
        <color rgb="FFE53E3E"/>
      </top>
      <bottom/>
      <diagonal/>
    </border>
    <border>
      <left/>
      <right style="thick">
        <color rgb="FFE53E3E"/>
      </right>
      <top style="thick">
        <color rgb="FFE53E3E"/>
      </top>
      <bottom/>
      <diagonal/>
    </border>
    <border>
      <left/>
      <right style="thick">
        <color rgb="FFE53E3E"/>
      </right>
      <top/>
      <bottom/>
      <diagonal/>
    </border>
    <border>
      <left style="thick">
        <color rgb="FFE53E3E"/>
      </left>
      <right/>
      <top/>
      <bottom style="thick">
        <color rgb="FFE53E3E"/>
      </bottom>
      <diagonal/>
    </border>
    <border>
      <left/>
      <right style="thick">
        <color rgb="FFE53E3E"/>
      </right>
      <top/>
      <bottom style="thick">
        <color rgb="FFE53E3E"/>
      </bottom>
      <diagonal/>
    </border>
    <border>
      <left style="thick">
        <color rgb="FF336600"/>
      </left>
      <right/>
      <top style="thick">
        <color rgb="FF336600"/>
      </top>
      <bottom/>
      <diagonal/>
    </border>
    <border>
      <left style="thick">
        <color rgb="FF336600"/>
      </left>
      <right/>
      <top/>
      <bottom/>
      <diagonal/>
    </border>
    <border>
      <left style="thick">
        <color rgb="FF336600"/>
      </left>
      <right/>
      <top/>
      <bottom style="thick">
        <color rgb="FF336600"/>
      </bottom>
      <diagonal/>
    </border>
    <border>
      <left/>
      <right style="thick">
        <color rgb="FF336600"/>
      </right>
      <top style="thick">
        <color rgb="FF336600"/>
      </top>
      <bottom/>
      <diagonal/>
    </border>
    <border>
      <left/>
      <right style="thick">
        <color rgb="FF336600"/>
      </right>
      <top/>
      <bottom/>
      <diagonal/>
    </border>
    <border>
      <left/>
      <right style="thick">
        <color rgb="FF336600"/>
      </right>
      <top/>
      <bottom style="thick">
        <color rgb="FF336600"/>
      </bottom>
      <diagonal/>
    </border>
    <border>
      <left style="thick">
        <color rgb="FF003300"/>
      </left>
      <right/>
      <top/>
      <bottom/>
      <diagonal/>
    </border>
    <border>
      <left style="thick">
        <color rgb="FF003300"/>
      </left>
      <right/>
      <top/>
      <bottom style="thick">
        <color rgb="FF003300"/>
      </bottom>
      <diagonal/>
    </border>
    <border>
      <left style="thick">
        <color rgb="FF003300"/>
      </left>
      <right/>
      <top style="thick">
        <color rgb="FF003300"/>
      </top>
      <bottom/>
      <diagonal/>
    </border>
    <border>
      <left/>
      <right style="thick">
        <color rgb="FF003300"/>
      </right>
      <top style="thick">
        <color rgb="FF003300"/>
      </top>
      <bottom/>
      <diagonal/>
    </border>
    <border>
      <left/>
      <right style="thick">
        <color rgb="FF003300"/>
      </right>
      <top/>
      <bottom/>
      <diagonal/>
    </border>
    <border>
      <left/>
      <right style="thick">
        <color rgb="FF003300"/>
      </right>
      <top/>
      <bottom style="thick">
        <color rgb="FF003300"/>
      </bottom>
      <diagonal/>
    </border>
    <border>
      <left/>
      <right/>
      <top style="thick">
        <color rgb="FF336600"/>
      </top>
      <bottom/>
      <diagonal/>
    </border>
    <border>
      <left/>
      <right style="medium">
        <color rgb="FF003300"/>
      </right>
      <top/>
      <bottom/>
      <diagonal/>
    </border>
    <border>
      <left/>
      <right/>
      <top style="thick">
        <color theme="5" tint="-0.499984740745262"/>
      </top>
      <bottom/>
      <diagonal/>
    </border>
    <border>
      <left style="thick">
        <color theme="5" tint="-0.499984740745262"/>
      </left>
      <right/>
      <top/>
      <bottom/>
      <diagonal/>
    </border>
    <border>
      <left style="thick">
        <color theme="5" tint="-0.499984740745262"/>
      </left>
      <right/>
      <top/>
      <bottom style="thick">
        <color theme="5" tint="-0.499984740745262"/>
      </bottom>
      <diagonal/>
    </border>
    <border>
      <left/>
      <right style="medium">
        <color rgb="FF003300"/>
      </right>
      <top/>
      <bottom style="thick">
        <color theme="5" tint="-0.499984740745262"/>
      </bottom>
      <diagonal/>
    </border>
    <border>
      <left style="thick">
        <color theme="5" tint="-0.499984740745262"/>
      </left>
      <right/>
      <top style="thick">
        <color theme="5" tint="-0.499984740745262"/>
      </top>
      <bottom/>
      <diagonal/>
    </border>
    <border>
      <left/>
      <right style="medium">
        <color rgb="FF003300"/>
      </right>
      <top style="thick">
        <color theme="5" tint="-0.499984740745262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/>
    <xf numFmtId="14" fontId="0" fillId="0" borderId="0" xfId="0" applyNumberFormat="1"/>
    <xf numFmtId="0" fontId="3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Border="1"/>
    <xf numFmtId="0" fontId="5" fillId="0" borderId="0" xfId="0" applyFont="1"/>
    <xf numFmtId="0" fontId="6" fillId="0" borderId="0" xfId="0" applyFont="1" applyBorder="1"/>
    <xf numFmtId="0" fontId="6" fillId="0" borderId="0" xfId="0" applyFont="1"/>
    <xf numFmtId="0" fontId="6" fillId="4" borderId="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0" fillId="0" borderId="6" xfId="0" applyBorder="1"/>
    <xf numFmtId="0" fontId="7" fillId="5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7" fillId="7" borderId="0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8" fillId="0" borderId="0" xfId="0" applyFont="1"/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5" fillId="8" borderId="0" xfId="0" applyFont="1" applyFill="1"/>
    <xf numFmtId="0" fontId="10" fillId="9" borderId="22" xfId="0" applyFont="1" applyFill="1" applyBorder="1" applyAlignment="1">
      <alignment horizontal="center" vertical="center"/>
    </xf>
    <xf numFmtId="0" fontId="10" fillId="9" borderId="23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4" xfId="0" applyFont="1" applyFill="1" applyBorder="1" applyAlignment="1">
      <alignment horizontal="center" vertical="center"/>
    </xf>
    <xf numFmtId="0" fontId="10" fillId="9" borderId="21" xfId="0" applyFont="1" applyFill="1" applyBorder="1" applyAlignment="1">
      <alignment horizontal="center" vertical="center"/>
    </xf>
    <xf numFmtId="0" fontId="10" fillId="9" borderId="25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1" fillId="10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1" fillId="10" borderId="29" xfId="0" applyFont="1" applyFill="1" applyBorder="1" applyAlignment="1">
      <alignment horizontal="center" vertical="center"/>
    </xf>
    <xf numFmtId="0" fontId="11" fillId="10" borderId="30" xfId="0" applyFont="1" applyFill="1" applyBorder="1" applyAlignment="1">
      <alignment horizontal="center" vertical="center"/>
    </xf>
    <xf numFmtId="0" fontId="11" fillId="10" borderId="31" xfId="0" applyFont="1" applyFill="1" applyBorder="1" applyAlignment="1">
      <alignment horizontal="center" vertical="center"/>
    </xf>
    <xf numFmtId="0" fontId="11" fillId="10" borderId="32" xfId="0" applyFont="1" applyFill="1" applyBorder="1" applyAlignment="1">
      <alignment horizontal="center" vertical="center"/>
    </xf>
    <xf numFmtId="0" fontId="11" fillId="10" borderId="33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F3300"/>
      <color rgb="FF800000"/>
      <color rgb="FF003300"/>
      <color rgb="FF336600"/>
      <color rgb="FFE53E3E"/>
      <color rgb="FF000066"/>
      <color rgb="FFF0FFF4"/>
      <color rgb="FFFFF5F5"/>
      <color rgb="FFEBF8FF"/>
      <color rgb="FF1A36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Departmental SLA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Total Hires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Dashboard!$A$10:$A$14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Operations</c:v>
                </c:pt>
                <c:pt idx="3">
                  <c:v>Product Management</c:v>
                </c:pt>
                <c:pt idx="4">
                  <c:v>Sales</c:v>
                </c:pt>
              </c:strCache>
            </c:strRef>
          </c:cat>
          <c:val>
            <c:numRef>
              <c:f>Dashboard!$B$10:$B$14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2-4DE5-9E09-D5F63574C15E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At Risk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Dashboard!$A$10:$A$14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Operations</c:v>
                </c:pt>
                <c:pt idx="3">
                  <c:v>Product Management</c:v>
                </c:pt>
                <c:pt idx="4">
                  <c:v>Sales</c:v>
                </c:pt>
              </c:strCache>
            </c:strRef>
          </c:cat>
          <c:val>
            <c:numRef>
              <c:f>Dashboard!$C$10:$C$14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82-4DE5-9E09-D5F63574C15E}"/>
            </c:ext>
          </c:extLst>
        </c:ser>
        <c:ser>
          <c:idx val="2"/>
          <c:order val="2"/>
          <c:tx>
            <c:strRef>
              <c:f>Dashboard!$D$9</c:f>
              <c:strCache>
                <c:ptCount val="1"/>
                <c:pt idx="0">
                  <c:v>Critical SLA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Dashboard!$A$10:$A$14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Operations</c:v>
                </c:pt>
                <c:pt idx="3">
                  <c:v>Product Management</c:v>
                </c:pt>
                <c:pt idx="4">
                  <c:v>Sales</c:v>
                </c:pt>
              </c:strCache>
            </c:strRef>
          </c:cat>
          <c:val>
            <c:numRef>
              <c:f>Dashboard!$D$10:$D$14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82-4DE5-9E09-D5F63574C1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1078867695"/>
        <c:axId val="1078866255"/>
        <c:axId val="0"/>
      </c:bar3DChart>
      <c:catAx>
        <c:axId val="107886769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866255"/>
        <c:crosses val="autoZero"/>
        <c:auto val="1"/>
        <c:lblAlgn val="ctr"/>
        <c:lblOffset val="100"/>
        <c:noMultiLvlLbl val="0"/>
      </c:catAx>
      <c:valAx>
        <c:axId val="107886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86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1478644</xdr:colOff>
      <xdr:row>18</xdr:row>
      <xdr:rowOff>147865</xdr:rowOff>
    </xdr:from>
    <xdr:to>
      <xdr:col>3</xdr:col>
      <xdr:colOff>3519715</xdr:colOff>
      <xdr:row>47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9AAAE0-7C53-DA57-D54D-5971FD5BF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showGridLines="0" tabSelected="1" zoomScale="70" zoomScaleNormal="70" workbookViewId="0">
      <selection activeCell="D43" sqref="D43:D46"/>
    </sheetView>
  </sheetViews>
  <sheetFormatPr defaultRowHeight="14.5" x14ac:dyDescent="0.35"/>
  <cols>
    <col min="1" max="1" width="89.26953125" bestFit="1" customWidth="1"/>
    <col min="2" max="2" width="14.453125" customWidth="1"/>
    <col min="3" max="3" width="12" customWidth="1"/>
    <col min="4" max="4" width="63" customWidth="1"/>
    <col min="5" max="6" width="17" customWidth="1"/>
    <col min="7" max="7" width="85" customWidth="1"/>
    <col min="8" max="8" width="84" customWidth="1"/>
    <col min="9" max="9" width="12" customWidth="1"/>
    <col min="11" max="11" width="53.36328125" customWidth="1"/>
    <col min="14" max="14" width="51.453125" customWidth="1"/>
  </cols>
  <sheetData>
    <row r="1" spans="1:14" ht="23.5" x14ac:dyDescent="0.55000000000000004">
      <c r="A1" s="5" t="s">
        <v>0</v>
      </c>
      <c r="B1" s="5"/>
      <c r="C1" s="5"/>
      <c r="D1" s="5"/>
      <c r="E1" s="5"/>
      <c r="F1" s="5"/>
      <c r="G1" s="5"/>
      <c r="H1" s="5"/>
      <c r="I1" s="2"/>
    </row>
    <row r="2" spans="1:14" ht="15" thickBot="1" x14ac:dyDescent="0.4">
      <c r="A2" s="6"/>
      <c r="D2" s="17"/>
      <c r="E2" s="17"/>
      <c r="F2" s="6"/>
      <c r="J2" s="6"/>
    </row>
    <row r="3" spans="1:14" s="9" customFormat="1" ht="21.5" thickTop="1" x14ac:dyDescent="0.5">
      <c r="A3" s="12" t="s">
        <v>1</v>
      </c>
      <c r="B3" s="14"/>
      <c r="C3" s="8"/>
      <c r="D3" s="20" t="s">
        <v>2</v>
      </c>
      <c r="E3" s="21"/>
      <c r="F3" s="26"/>
      <c r="G3" s="28" t="s">
        <v>3</v>
      </c>
      <c r="H3" s="31"/>
      <c r="I3" s="8"/>
      <c r="J3" s="38" t="s">
        <v>58</v>
      </c>
      <c r="K3" s="39"/>
      <c r="L3" s="8"/>
      <c r="M3" s="50" t="s">
        <v>7</v>
      </c>
      <c r="N3" s="51"/>
    </row>
    <row r="4" spans="1:14" ht="14.5" customHeight="1" x14ac:dyDescent="0.35">
      <c r="A4" s="10"/>
      <c r="B4" s="15"/>
      <c r="D4" s="18"/>
      <c r="E4" s="22"/>
      <c r="F4" s="27"/>
      <c r="G4" s="29"/>
      <c r="H4" s="32"/>
      <c r="J4" s="40"/>
      <c r="K4" s="41"/>
      <c r="L4" s="6"/>
      <c r="M4" s="47"/>
      <c r="N4" s="45"/>
    </row>
    <row r="5" spans="1:14" ht="15" customHeight="1" thickBot="1" x14ac:dyDescent="0.4">
      <c r="A5" s="13"/>
      <c r="B5" s="16"/>
      <c r="D5" s="23"/>
      <c r="E5" s="24"/>
      <c r="F5" s="26"/>
      <c r="G5" s="30"/>
      <c r="H5" s="33"/>
      <c r="J5" s="42"/>
      <c r="K5" s="43"/>
      <c r="M5" s="48"/>
      <c r="N5" s="49"/>
    </row>
    <row r="6" spans="1:14" ht="24" thickTop="1" x14ac:dyDescent="0.55000000000000004">
      <c r="A6" s="11">
        <f>COUNTA(Onboarding_Database!A2:A100)</f>
        <v>5</v>
      </c>
      <c r="B6" s="11"/>
      <c r="D6" s="19">
        <f ca="1">COUNTIF(Onboarding_Database!M2:M100, "Critical SLA Breach")</f>
        <v>1</v>
      </c>
      <c r="E6" s="19"/>
      <c r="F6" s="25"/>
      <c r="G6" s="44">
        <f ca="1">AVERAGEIF(Onboarding_Database!$K$2:$K$100, "Completed", Onboarding_Database!$L$2:$L$100)</f>
        <v>25</v>
      </c>
      <c r="H6" s="44"/>
      <c r="J6" s="44">
        <f ca="1">A6-C11-D13</f>
        <v>3</v>
      </c>
      <c r="K6" s="44"/>
      <c r="M6" s="46">
        <f ca="1">C11</f>
        <v>1</v>
      </c>
      <c r="N6" s="46"/>
    </row>
    <row r="7" spans="1:14" ht="18.5" x14ac:dyDescent="0.45">
      <c r="A7" s="34" t="s">
        <v>4</v>
      </c>
    </row>
    <row r="8" spans="1:14" s="7" customFormat="1" ht="17" customHeight="1" x14ac:dyDescent="0.45"/>
    <row r="9" spans="1:14" s="7" customFormat="1" ht="14.5" customHeight="1" x14ac:dyDescent="0.45">
      <c r="A9" s="35" t="s">
        <v>5</v>
      </c>
      <c r="B9" s="36" t="s">
        <v>6</v>
      </c>
      <c r="C9" s="36" t="s">
        <v>7</v>
      </c>
      <c r="D9" s="36" t="s">
        <v>8</v>
      </c>
      <c r="E9" s="36" t="s">
        <v>9</v>
      </c>
      <c r="F9" s="36"/>
      <c r="G9" s="36" t="s">
        <v>56</v>
      </c>
    </row>
    <row r="10" spans="1:14" s="7" customFormat="1" ht="18.5" x14ac:dyDescent="0.45">
      <c r="A10" s="7" t="str" cm="1">
        <f t="array" aca="1" ref="A10:E14" ca="1">_xlfn.LET( _xlpm.depts, _xlfn._xlws.SORT(_xlfn.UNIQUE(_xlfn._xlws.FILTER(Onboarding_Database!C2:C100, Onboarding_Database!C2:C100&lt;&gt;""))), _xlpm.totalHires, _xlfn.MAP(_xlpm.depts, _xlfn.LAMBDA(_xlpm.d, COUNTIF(Onboarding_Database!C2:C100, _xlpm.d))), _xlpm.atRiskHires, _xlfn.MAP(_xlpm.depts, _xlfn.LAMBDA(_xlpm.d, COUNTIFS(Onboarding_Database!C2:C100, _xlpm.d, Onboarding_Database!M2:M100, "At Risk"))), _xlpm.criticalHires, _xlfn.MAP(_xlpm.depts, _xlfn.LAMBDA(_xlpm.d, COUNTIFS(Onboarding_Database!C2:C100, _xlpm.d, Onboarding_Database!M2:M100, "Critical SLA Breach"))), _xlpm.avgTTP, _xlfn.MAP(_xlpm.depts, _xlfn.LAMBDA(_xlpm.d, IFERROR(AVERAGE(_xlfn._xlws.FILTER(Onboarding_Database!L2:L100, Onboarding_Database!C2:C100 = _xlpm.d, Onboarding_Database!K2:K100 = "Completed")), 0))), IFERROR(_xlfn.HSTACK(_xlpm.depts, _xlpm.totalHires, _xlpm.atRiskHires, _xlpm.criticalHires, ROUND(_xlpm.avgTTP, 1)), 0) )</f>
        <v>Engineering</v>
      </c>
      <c r="B10" s="37">
        <f ca="1"/>
        <v>1</v>
      </c>
      <c r="C10" s="37">
        <f ca="1"/>
        <v>0</v>
      </c>
      <c r="D10" s="37">
        <f ca="1"/>
        <v>0</v>
      </c>
      <c r="E10" s="37">
        <f ca="1"/>
        <v>25</v>
      </c>
      <c r="G10" s="7" t="str" cm="1">
        <f t="array" aca="1" ref="G10" ca="1">_xlfn.LET( _xlpm.empName, _xlfn.XLOOKUP(A10, Onboarding_Database!$C$2:$C$100, Onboarding_Database!$B$2:$B$100), _xlpm.status, _xlfn.XLOOKUP(A10, Onboarding_Database!$C$2:$C$100, Onboarding_Database!$K$2:$K$100), _xlpm.ttp, _xlfn.XLOOKUP(A10, Onboarding_Database!$C$2:$C$100, Onboarding_Database!$L$2:$L$100), _xlfn.IFS( _xlpm.status = "Completed", _xlpm.empName &amp; " completed her 30-day evaluation, so her Time-to-Productivity is calculated as " &amp; _xlpm.ttp &amp; " days.", _xlpm.status = "Pending IT", _xlpm.empName &amp; " is """ &amp; _xlpm.status &amp; """, so her onboarding is not complete.", _xlpm.status = "Not Started", _xlpm.empName &amp; " is """ &amp; _xlpm.status &amp; """, so no onboarding days exist yet.", A10 = "Finance", _xlpm.empName &amp; " is still """ &amp; _xlpm.status &amp; """, so no completed onboarding days exist yet.", TRUE, _xlpm.empName &amp; " is """ &amp; _xlpm.status &amp; """, so his onboarding is not complete." ) )</f>
        <v>Sarah Jenkins completed her 30-day evaluation, so her Time-to-Productivity is calculated as 25 days.</v>
      </c>
    </row>
    <row r="11" spans="1:14" s="7" customFormat="1" ht="18.5" x14ac:dyDescent="0.45">
      <c r="A11" s="7" t="str">
        <f ca="1"/>
        <v>Finance</v>
      </c>
      <c r="B11" s="37">
        <f ca="1"/>
        <v>1</v>
      </c>
      <c r="C11" s="37">
        <f ca="1"/>
        <v>1</v>
      </c>
      <c r="D11" s="37">
        <f ca="1"/>
        <v>0</v>
      </c>
      <c r="E11" s="37">
        <f ca="1"/>
        <v>0</v>
      </c>
      <c r="G11" s="7" t="str" cm="1">
        <f t="array" aca="1" ref="G11" ca="1">_xlfn.LET( _xlpm.empName, _xlfn.XLOOKUP(A11, Onboarding_Database!$C$2:$C$100, Onboarding_Database!$B$2:$B$100), _xlpm.status, _xlfn.XLOOKUP(A11, Onboarding_Database!$C$2:$C$100, Onboarding_Database!$K$2:$K$100), _xlpm.ttp, _xlfn.XLOOKUP(A11, Onboarding_Database!$C$2:$C$100, Onboarding_Database!$L$2:$L$100), _xlfn.IFS( _xlpm.status = "Completed", _xlpm.empName &amp; " completed her 30-day evaluation, so her Time-to-Productivity is calculated as " &amp; _xlpm.ttp &amp; " days.", _xlpm.status = "Pending IT", _xlpm.empName &amp; " is """ &amp; _xlpm.status &amp; """, so her onboarding is not complete.", _xlpm.status = "Not Started", _xlpm.empName &amp; " is """ &amp; _xlpm.status &amp; """, so no onboarding days exist yet.", A11 = "Finance", _xlpm.empName &amp; " is still """ &amp; _xlpm.status &amp; """, so no completed onboarding days exist yet.", TRUE, _xlpm.empName &amp; " is """ &amp; _xlpm.status &amp; """, so his onboarding is not complete." ) )</f>
        <v>Aisha Patel is still "In Progress", so no completed onboarding days exist yet.</v>
      </c>
    </row>
    <row r="12" spans="1:14" s="7" customFormat="1" ht="18.5" x14ac:dyDescent="0.45">
      <c r="A12" s="7" t="str">
        <f ca="1"/>
        <v>Operations</v>
      </c>
      <c r="B12" s="37">
        <f ca="1"/>
        <v>1</v>
      </c>
      <c r="C12" s="37">
        <f ca="1"/>
        <v>0</v>
      </c>
      <c r="D12" s="37">
        <f ca="1"/>
        <v>0</v>
      </c>
      <c r="E12" s="37">
        <f ca="1"/>
        <v>0</v>
      </c>
      <c r="G12" s="7" t="str" cm="1">
        <f t="array" aca="1" ref="G12" ca="1">_xlfn.LET( _xlpm.empName, _xlfn.XLOOKUP(A12, Onboarding_Database!$C$2:$C$100, Onboarding_Database!$B$2:$B$100), _xlpm.status, _xlfn.XLOOKUP(A12, Onboarding_Database!$C$2:$C$100, Onboarding_Database!$K$2:$K$100), _xlpm.ttp, _xlfn.XLOOKUP(A12, Onboarding_Database!$C$2:$C$100, Onboarding_Database!$L$2:$L$100), _xlfn.IFS( _xlpm.status = "Completed", _xlpm.empName &amp; " completed her 30-day evaluation, so her Time-to-Productivity is calculated as " &amp; _xlpm.ttp &amp; " days.", _xlpm.status = "Pending IT", _xlpm.empName &amp; " is """ &amp; _xlpm.status &amp; """, so her onboarding is not complete.", _xlpm.status = "Not Started", _xlpm.empName &amp; " is """ &amp; _xlpm.status &amp; """, so no onboarding days exist yet.", A12 = "Finance", _xlpm.empName &amp; " is still """ &amp; _xlpm.status &amp; """, so no completed onboarding days exist yet.", TRUE, _xlpm.empName &amp; " is """ &amp; _xlpm.status &amp; """, so his onboarding is not complete." ) )</f>
        <v>Elena Rostova is "Pending IT", so her onboarding is not complete.</v>
      </c>
    </row>
    <row r="13" spans="1:14" s="7" customFormat="1" ht="18.5" x14ac:dyDescent="0.45">
      <c r="A13" s="7" t="str">
        <f ca="1"/>
        <v>Product Management</v>
      </c>
      <c r="B13" s="37">
        <f ca="1"/>
        <v>1</v>
      </c>
      <c r="C13" s="37">
        <f ca="1"/>
        <v>0</v>
      </c>
      <c r="D13" s="37">
        <f ca="1"/>
        <v>1</v>
      </c>
      <c r="E13" s="37">
        <f ca="1"/>
        <v>0</v>
      </c>
      <c r="G13" s="7" t="str" cm="1">
        <f t="array" aca="1" ref="G13" ca="1">_xlfn.LET( _xlpm.empName, _xlfn.XLOOKUP(A13, Onboarding_Database!$C$2:$C$100, Onboarding_Database!$B$2:$B$100), _xlpm.status, _xlfn.XLOOKUP(A13, Onboarding_Database!$C$2:$C$100, Onboarding_Database!$K$2:$K$100), _xlpm.ttp, _xlfn.XLOOKUP(A13, Onboarding_Database!$C$2:$C$100, Onboarding_Database!$L$2:$L$100), _xlfn.IFS( _xlpm.status = "Completed", _xlpm.empName &amp; " completed her 30-day evaluation, so her Time-to-Productivity is calculated as " &amp; _xlpm.ttp &amp; " days.", _xlpm.status = "Pending IT", _xlpm.empName &amp; " is """ &amp; _xlpm.status &amp; """, so her onboarding is not complete.", _xlpm.status = "Not Started", _xlpm.empName &amp; " is """ &amp; _xlpm.status &amp; """, so no onboarding days exist yet.", A13 = "Finance", _xlpm.empName &amp; " is still """ &amp; _xlpm.status &amp; """, so no completed onboarding days exist yet.", TRUE, _xlpm.empName &amp; " is """ &amp; _xlpm.status &amp; """, so his onboarding is not complete." ) )</f>
        <v>Marcus Vance is "In Progress", so his onboarding is not complete.</v>
      </c>
    </row>
    <row r="14" spans="1:14" s="7" customFormat="1" ht="18.5" x14ac:dyDescent="0.45">
      <c r="A14" s="7" t="str">
        <f ca="1"/>
        <v>Sales</v>
      </c>
      <c r="B14" s="37">
        <f ca="1"/>
        <v>1</v>
      </c>
      <c r="C14" s="37">
        <f ca="1"/>
        <v>0</v>
      </c>
      <c r="D14" s="37">
        <f ca="1"/>
        <v>0</v>
      </c>
      <c r="E14" s="37">
        <f ca="1"/>
        <v>0</v>
      </c>
      <c r="G14" s="7" t="str" cm="1">
        <f t="array" aca="1" ref="G14" ca="1">_xlfn.LET( _xlpm.empName, _xlfn.XLOOKUP(A14, Onboarding_Database!$C$2:$C$100, Onboarding_Database!$B$2:$B$100), _xlpm.status, _xlfn.XLOOKUP(A14, Onboarding_Database!$C$2:$C$100, Onboarding_Database!$K$2:$K$100), _xlpm.ttp, _xlfn.XLOOKUP(A14, Onboarding_Database!$C$2:$C$100, Onboarding_Database!$L$2:$L$100), _xlfn.IFS( _xlpm.status = "Completed", _xlpm.empName &amp; " completed her 30-day evaluation, so her Time-to-Productivity is calculated as " &amp; _xlpm.ttp &amp; " days.", _xlpm.status = "Pending IT", _xlpm.empName &amp; " is """ &amp; _xlpm.status &amp; """, so her onboarding is not complete.", _xlpm.status = "Not Started", _xlpm.empName &amp; " is """ &amp; _xlpm.status &amp; """, so no onboarding days exist yet.", A14 = "Finance", _xlpm.empName &amp; " is still """ &amp; _xlpm.status &amp; """, so no completed onboarding days exist yet.", TRUE, _xlpm.empName &amp; " is """ &amp; _xlpm.status &amp; """, so his onboarding is not complete." ) )</f>
        <v>David Chen is "Not Started", so no onboarding days exist yet.</v>
      </c>
    </row>
  </sheetData>
  <mergeCells count="11">
    <mergeCell ref="J3:K5"/>
    <mergeCell ref="G6:H6"/>
    <mergeCell ref="J6:K6"/>
    <mergeCell ref="M3:N5"/>
    <mergeCell ref="M6:N6"/>
    <mergeCell ref="A1:H1"/>
    <mergeCell ref="A3:B5"/>
    <mergeCell ref="D3:E5"/>
    <mergeCell ref="A6:B6"/>
    <mergeCell ref="D6:E6"/>
    <mergeCell ref="G3:H5"/>
  </mergeCells>
  <conditionalFormatting sqref="C10:C14">
    <cfRule type="cellIs" dxfId="1" priority="2" operator="greaterThan">
      <formula>0</formula>
    </cfRule>
  </conditionalFormatting>
  <conditionalFormatting sqref="D10:D14">
    <cfRule type="cellIs" dxfId="0" priority="1" operator="greaterThan">
      <formula>0.5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topLeftCell="G1" workbookViewId="0">
      <selection activeCell="N2" sqref="N2"/>
    </sheetView>
  </sheetViews>
  <sheetFormatPr defaultRowHeight="14.5" x14ac:dyDescent="0.35"/>
  <cols>
    <col min="1" max="1" width="12.90625" bestFit="1" customWidth="1"/>
    <col min="2" max="2" width="14.453125" bestFit="1" customWidth="1"/>
    <col min="3" max="3" width="19" bestFit="1" customWidth="1"/>
    <col min="4" max="4" width="10.08984375" bestFit="1" customWidth="1"/>
    <col min="5" max="5" width="23.08984375" bestFit="1" customWidth="1"/>
    <col min="6" max="6" width="23" bestFit="1" customWidth="1"/>
    <col min="7" max="7" width="24.453125" bestFit="1" customWidth="1"/>
    <col min="8" max="8" width="18.90625" bestFit="1" customWidth="1"/>
    <col min="9" max="9" width="23.54296875" bestFit="1" customWidth="1"/>
    <col min="10" max="10" width="23.453125" bestFit="1" customWidth="1"/>
    <col min="11" max="11" width="18.90625" bestFit="1" customWidth="1"/>
    <col min="12" max="12" width="24.36328125" bestFit="1" customWidth="1"/>
    <col min="13" max="13" width="25.6328125" bestFit="1" customWidth="1"/>
    <col min="14" max="14" width="13" bestFit="1" customWidth="1"/>
    <col min="15" max="15" width="26.36328125" bestFit="1" customWidth="1"/>
    <col min="16" max="16" width="20.1796875" bestFit="1" customWidth="1"/>
  </cols>
  <sheetData>
    <row r="1" spans="1:16" x14ac:dyDescent="0.35">
      <c r="A1" s="1" t="s">
        <v>10</v>
      </c>
      <c r="B1" s="1" t="s">
        <v>11</v>
      </c>
      <c r="C1" s="1" t="s">
        <v>5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 x14ac:dyDescent="0.35">
      <c r="A2" t="s">
        <v>25</v>
      </c>
      <c r="B2" t="s">
        <v>26</v>
      </c>
      <c r="C2" t="s">
        <v>27</v>
      </c>
      <c r="D2" s="3">
        <v>46300</v>
      </c>
      <c r="E2" s="3">
        <f>WORKDAY(D2, -5)</f>
        <v>46293</v>
      </c>
      <c r="F2" s="3">
        <v>46294</v>
      </c>
      <c r="G2">
        <f ca="1">IF(ISBLANK(F2), IF(TODAY()&gt;E2, NETWORKDAYS(E2, TODAY())-1, 0), IF(F2&gt;E2, NETWORKDAYS(E2, F2)-1, -(NETWORKDAYS(F2, E2)-1)))</f>
        <v>1</v>
      </c>
      <c r="H2" t="str">
        <f>_xlfn.LET(_xlpm.act, F2, _xlpm.delay, G2, IF(NOT(ISBLANK(_xlpm.act)), "Completed", IF(_xlpm.delay &gt; 0, "Overdue", "In Progress")))</f>
        <v>Completed</v>
      </c>
      <c r="I2" s="3">
        <f>WORKDAY(D2, 20)</f>
        <v>46328</v>
      </c>
      <c r="J2" s="3">
        <v>46325</v>
      </c>
      <c r="K2" t="s">
        <v>28</v>
      </c>
      <c r="L2">
        <f ca="1">IF(ISBLANK(J2), IF(TODAY()&gt;=D2, TODAY()-D2, 0), J2-D2)</f>
        <v>25</v>
      </c>
      <c r="M2" s="4" t="str" cm="1">
        <f t="array" aca="1" ref="M2" ca="1">_xlfn.IFS(K2 = "Completed", "Onboarded", G2 &gt; 3, "Critical SLA Breach", OR(G2 &gt; 0, H2 = "Overdue"), "At Risk", TRUE, "On Schedule")</f>
        <v>Onboarded</v>
      </c>
      <c r="N2" t="str" cm="1">
        <f t="array" aca="1" ref="N2" ca="1">_xlfn.SWITCH(M2, "Critical SLA Breach", "🔴 CRITICAL", "At Risk", "🟡 AT RISK", "On Schedule", "🟢 ON TRACK", "Onboarded", "✅ COMPLETE", "⚪ UNKNOWN")</f>
        <v>✅ COMPLETE</v>
      </c>
      <c r="O2" t="s">
        <v>57</v>
      </c>
      <c r="P2" t="str">
        <f ca="1">IF(OR(M2="Critical SLA Breach", G2&gt;2), "Trigger IT Escalation Webhook", "System Normal")</f>
        <v>System Normal</v>
      </c>
    </row>
    <row r="3" spans="1:16" x14ac:dyDescent="0.35">
      <c r="A3" t="s">
        <v>29</v>
      </c>
      <c r="B3" t="s">
        <v>30</v>
      </c>
      <c r="C3" t="s">
        <v>31</v>
      </c>
      <c r="D3" s="3">
        <v>46307</v>
      </c>
      <c r="E3" s="3">
        <f t="shared" ref="E3:E6" si="0">WORKDAY(D3, -5)</f>
        <v>46300</v>
      </c>
      <c r="F3" s="3">
        <v>46304</v>
      </c>
      <c r="G3">
        <f t="shared" ref="G3:G6" ca="1" si="1">IF(ISBLANK(F3), IF(TODAY()&gt;E3, NETWORKDAYS(E3, TODAY())-1, 0), IF(F3&gt;E3, NETWORKDAYS(E3, F3)-1, -(NETWORKDAYS(F3, E3)-1)))</f>
        <v>4</v>
      </c>
      <c r="H3" t="str">
        <f t="shared" ref="H3:H6" si="2">_xlfn.LET(_xlpm.act, F3, _xlpm.delay, G3, IF(NOT(ISBLANK(_xlpm.act)), "Completed", IF(_xlpm.delay &gt; 0, "Overdue", "In Progress")))</f>
        <v>Completed</v>
      </c>
      <c r="I3" s="3">
        <f t="shared" ref="I3:I6" si="3">WORKDAY(D3, 20)</f>
        <v>46335</v>
      </c>
      <c r="K3" t="s">
        <v>32</v>
      </c>
      <c r="L3">
        <f t="shared" ref="L3:L6" ca="1" si="4">IF(ISBLANK(J3), IF(TODAY()&gt;=D3, TODAY()-D3, 0), J3-D3)</f>
        <v>0</v>
      </c>
      <c r="M3" s="4" t="str" cm="1">
        <f t="array" aca="1" ref="M3" ca="1">_xlfn.IFS(K3 = "Completed", "Onboarded", G3 &gt; 3, "Critical SLA Breach", OR(G3 &gt; 0, H3 = "Overdue"), "At Risk", TRUE, "On Schedule")</f>
        <v>Critical SLA Breach</v>
      </c>
      <c r="N3" t="str" cm="1">
        <f t="array" aca="1" ref="N3" ca="1">_xlfn.SWITCH(M3, "Critical SLA Breach", "🔴 CRITICAL", "At Risk", "🟡 AT RISK", "On Schedule", "🟢 ON TRACK", "Onboarded", "✅ COMPLETE", "⚪ UNKNOWN")</f>
        <v>🔴 CRITICAL</v>
      </c>
      <c r="O3" t="s">
        <v>57</v>
      </c>
      <c r="P3" t="str">
        <f t="shared" ref="P3:P6" ca="1" si="5">IF(OR(M3="Critical SLA Breach", G3&gt;2), "Trigger IT Escalation Webhook", "System Normal")</f>
        <v>Trigger IT Escalation Webhook</v>
      </c>
    </row>
    <row r="4" spans="1:16" x14ac:dyDescent="0.35">
      <c r="A4" t="s">
        <v>33</v>
      </c>
      <c r="B4" t="s">
        <v>34</v>
      </c>
      <c r="C4" t="s">
        <v>35</v>
      </c>
      <c r="D4" s="3">
        <v>46314</v>
      </c>
      <c r="E4" s="3">
        <f t="shared" si="0"/>
        <v>46307</v>
      </c>
      <c r="G4">
        <f t="shared" ca="1" si="1"/>
        <v>0</v>
      </c>
      <c r="H4" t="str">
        <f t="shared" ca="1" si="2"/>
        <v>In Progress</v>
      </c>
      <c r="I4" s="3">
        <f t="shared" si="3"/>
        <v>46342</v>
      </c>
      <c r="K4" t="s">
        <v>36</v>
      </c>
      <c r="L4">
        <f t="shared" ca="1" si="4"/>
        <v>0</v>
      </c>
      <c r="M4" s="4" t="str" cm="1">
        <f t="array" aca="1" ref="M4" ca="1">_xlfn.IFS(K4 = "Completed", "Onboarded", G4 &gt; 3, "Critical SLA Breach", OR(G4 &gt; 0, H4 = "Overdue"), "At Risk", TRUE, "On Schedule")</f>
        <v>On Schedule</v>
      </c>
      <c r="N4" t="str" cm="1">
        <f t="array" aca="1" ref="N4" ca="1">_xlfn.SWITCH(M4, "Critical SLA Breach", "🔴 CRITICAL", "At Risk", "🟡 AT RISK", "On Schedule", "🟢 ON TRACK", "Onboarded", "✅ COMPLETE", "⚪ UNKNOWN")</f>
        <v>🟢 ON TRACK</v>
      </c>
      <c r="O4" t="s">
        <v>57</v>
      </c>
      <c r="P4" t="str">
        <f t="shared" ca="1" si="5"/>
        <v>System Normal</v>
      </c>
    </row>
    <row r="5" spans="1:16" x14ac:dyDescent="0.35">
      <c r="A5" t="s">
        <v>37</v>
      </c>
      <c r="B5" t="s">
        <v>38</v>
      </c>
      <c r="C5" t="s">
        <v>39</v>
      </c>
      <c r="D5" s="3">
        <v>46321</v>
      </c>
      <c r="E5" s="3">
        <f t="shared" si="0"/>
        <v>46314</v>
      </c>
      <c r="F5" s="3">
        <v>46310</v>
      </c>
      <c r="G5">
        <f t="shared" ca="1" si="1"/>
        <v>-2</v>
      </c>
      <c r="H5" t="str">
        <f t="shared" si="2"/>
        <v>Completed</v>
      </c>
      <c r="I5" s="3">
        <f t="shared" si="3"/>
        <v>46349</v>
      </c>
      <c r="K5" t="s">
        <v>40</v>
      </c>
      <c r="L5">
        <f t="shared" ca="1" si="4"/>
        <v>0</v>
      </c>
      <c r="M5" s="4" t="str" cm="1">
        <f t="array" aca="1" ref="M5" ca="1">_xlfn.IFS(K5 = "Completed", "Onboarded", G5 &gt; 3, "Critical SLA Breach", OR(G5 &gt; 0, H5 = "Overdue"), "At Risk", TRUE, "On Schedule")</f>
        <v>On Schedule</v>
      </c>
      <c r="N5" t="str" cm="1">
        <f t="array" aca="1" ref="N5" ca="1">_xlfn.SWITCH(M5, "Critical SLA Breach", "🔴 CRITICAL", "At Risk", "🟡 AT RISK", "On Schedule", "🟢 ON TRACK", "Onboarded", "✅ COMPLETE", "⚪ UNKNOWN")</f>
        <v>🟢 ON TRACK</v>
      </c>
      <c r="O5" t="s">
        <v>57</v>
      </c>
      <c r="P5" t="str">
        <f t="shared" ca="1" si="5"/>
        <v>System Normal</v>
      </c>
    </row>
    <row r="6" spans="1:16" x14ac:dyDescent="0.35">
      <c r="A6" t="s">
        <v>41</v>
      </c>
      <c r="B6" t="s">
        <v>42</v>
      </c>
      <c r="C6" t="s">
        <v>43</v>
      </c>
      <c r="D6" s="3">
        <v>46328</v>
      </c>
      <c r="E6" s="3">
        <f t="shared" si="0"/>
        <v>46321</v>
      </c>
      <c r="F6" s="3">
        <v>46323</v>
      </c>
      <c r="G6">
        <f t="shared" ca="1" si="1"/>
        <v>2</v>
      </c>
      <c r="H6" t="str">
        <f t="shared" si="2"/>
        <v>Completed</v>
      </c>
      <c r="I6" s="3">
        <f t="shared" si="3"/>
        <v>46356</v>
      </c>
      <c r="K6" t="s">
        <v>32</v>
      </c>
      <c r="L6">
        <f t="shared" ca="1" si="4"/>
        <v>0</v>
      </c>
      <c r="M6" s="4" t="str" cm="1">
        <f t="array" aca="1" ref="M6" ca="1">_xlfn.IFS(K6 = "Completed", "Onboarded", G6 &gt; 3, "Critical SLA Breach", OR(G6 &gt; 0, H6 = "Overdue"), "At Risk", TRUE, "On Schedule")</f>
        <v>At Risk</v>
      </c>
      <c r="N6" t="str" cm="1">
        <f t="array" aca="1" ref="N6" ca="1">_xlfn.SWITCH(M6, "Critical SLA Breach", "🔴 CRITICAL", "At Risk", "🟡 AT RISK", "On Schedule", "🟢 ON TRACK", "Onboarded", "✅ COMPLETE", "⚪ UNKNOWN")</f>
        <v>🟡 AT RISK</v>
      </c>
      <c r="O6" t="s">
        <v>57</v>
      </c>
      <c r="P6" t="str">
        <f t="shared" ca="1" si="5"/>
        <v>System Normal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sqref="A1:F20"/>
    </sheetView>
  </sheetViews>
  <sheetFormatPr defaultRowHeight="14.5" x14ac:dyDescent="0.35"/>
  <cols>
    <col min="1" max="1" width="17" customWidth="1"/>
    <col min="2" max="2" width="21" customWidth="1"/>
    <col min="3" max="3" width="20" customWidth="1"/>
    <col min="4" max="4" width="30" customWidth="1"/>
  </cols>
  <sheetData>
    <row r="1" spans="1:4" x14ac:dyDescent="0.35">
      <c r="A1" t="s">
        <v>44</v>
      </c>
      <c r="B1" t="s">
        <v>45</v>
      </c>
      <c r="C1" t="s">
        <v>46</v>
      </c>
      <c r="D1" t="s">
        <v>47</v>
      </c>
    </row>
    <row r="2" spans="1:4" x14ac:dyDescent="0.35">
      <c r="A2" t="s">
        <v>40</v>
      </c>
      <c r="B2" t="s">
        <v>27</v>
      </c>
      <c r="C2" t="s">
        <v>48</v>
      </c>
      <c r="D2" t="s">
        <v>49</v>
      </c>
    </row>
    <row r="3" spans="1:4" x14ac:dyDescent="0.35">
      <c r="A3" t="s">
        <v>32</v>
      </c>
      <c r="B3" t="s">
        <v>31</v>
      </c>
      <c r="C3" t="s">
        <v>50</v>
      </c>
      <c r="D3" t="s">
        <v>51</v>
      </c>
    </row>
    <row r="4" spans="1:4" x14ac:dyDescent="0.35">
      <c r="A4" t="s">
        <v>36</v>
      </c>
      <c r="B4" t="s">
        <v>35</v>
      </c>
      <c r="C4" t="s">
        <v>52</v>
      </c>
      <c r="D4" t="s">
        <v>51</v>
      </c>
    </row>
    <row r="5" spans="1:4" x14ac:dyDescent="0.35">
      <c r="A5" t="s">
        <v>7</v>
      </c>
      <c r="B5" t="s">
        <v>43</v>
      </c>
      <c r="C5" t="s">
        <v>53</v>
      </c>
      <c r="D5" t="s">
        <v>51</v>
      </c>
    </row>
    <row r="6" spans="1:4" x14ac:dyDescent="0.35">
      <c r="A6" t="s">
        <v>28</v>
      </c>
      <c r="B6" t="s">
        <v>39</v>
      </c>
      <c r="C6" t="s">
        <v>54</v>
      </c>
      <c r="D6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Onboarding_Database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Chitrang Vaishnav</cp:lastModifiedBy>
  <dcterms:created xsi:type="dcterms:W3CDTF">2026-08-12T05:08:24Z</dcterms:created>
  <dcterms:modified xsi:type="dcterms:W3CDTF">2026-08-12T20:20:20Z</dcterms:modified>
</cp:coreProperties>
</file>